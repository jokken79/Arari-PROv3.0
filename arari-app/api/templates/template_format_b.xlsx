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hinginGenerator-v5-PRO\ChinginGenerator-v4-PRO\templates\"/>
    </mc:Choice>
  </mc:AlternateContent>
  <xr:revisionPtr revIDLastSave="0" documentId="13_ncr:1_{6A937810-2A0C-4BDC-8649-600DECFE6D7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サンプ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N39" i="1"/>
  <c r="P39" i="1"/>
  <c r="P38" i="1"/>
  <c r="P37" i="1"/>
  <c r="P36" i="1"/>
  <c r="P35" i="1"/>
  <c r="P34" i="1"/>
  <c r="P33" i="1"/>
  <c r="O31" i="1"/>
  <c r="N31" i="1"/>
  <c r="P31" i="1"/>
  <c r="P30" i="1"/>
  <c r="P29" i="1"/>
  <c r="P28" i="1"/>
  <c r="P27" i="1"/>
  <c r="N26" i="1"/>
  <c r="N40" i="1" s="1"/>
  <c r="O25" i="1"/>
  <c r="O26" i="1" s="1"/>
  <c r="O40" i="1" s="1"/>
  <c r="N25" i="1"/>
  <c r="P25" i="1"/>
  <c r="O24" i="1"/>
  <c r="O32" i="1" s="1"/>
  <c r="N24" i="1"/>
  <c r="N32" i="1" s="1"/>
  <c r="P23" i="1"/>
  <c r="P22" i="1"/>
  <c r="P21" i="1"/>
  <c r="P20" i="1"/>
  <c r="P19" i="1"/>
  <c r="P18" i="1"/>
  <c r="P17" i="1"/>
  <c r="P16" i="1"/>
  <c r="P15" i="1"/>
  <c r="P14" i="1"/>
  <c r="P13" i="1"/>
  <c r="P32" i="1" l="1"/>
  <c r="P24" i="1"/>
  <c r="P40" i="1" l="1"/>
  <c r="P26" i="1"/>
</calcChain>
</file>

<file path=xl/sharedStrings.xml><?xml version="1.0" encoding="utf-8"?>
<sst xmlns="http://schemas.openxmlformats.org/spreadsheetml/2006/main" count="50" uniqueCount="49">
  <si>
    <t xml:space="preserve">  ●●年　　賃　金　台　帳</t>
  </si>
  <si>
    <t>生年月日</t>
  </si>
  <si>
    <t>雇入年月日</t>
  </si>
  <si>
    <t>所　　属</t>
  </si>
  <si>
    <t>氏　　　　　名</t>
  </si>
  <si>
    <t>性　別</t>
  </si>
  <si>
    <t>賃金計算期間</t>
  </si>
  <si>
    <t>１月分</t>
  </si>
  <si>
    <t>２月分</t>
  </si>
  <si>
    <t>３月分</t>
  </si>
  <si>
    <t>４月分</t>
  </si>
  <si>
    <t>５月分</t>
  </si>
  <si>
    <t>６月分</t>
  </si>
  <si>
    <t>７月分</t>
  </si>
  <si>
    <t>８月分</t>
  </si>
  <si>
    <t>９月分</t>
  </si>
  <si>
    <t>１０月分</t>
  </si>
  <si>
    <t>１１月分</t>
  </si>
  <si>
    <t>１２月分</t>
  </si>
  <si>
    <t>賞与1</t>
  </si>
  <si>
    <t>賞与2</t>
  </si>
  <si>
    <t>合計</t>
  </si>
  <si>
    <t>労働日数</t>
  </si>
  <si>
    <t>労働時間数</t>
  </si>
  <si>
    <t>時間外労働</t>
  </si>
  <si>
    <t>休日労働</t>
  </si>
  <si>
    <t>深夜労働</t>
  </si>
  <si>
    <t>基本給</t>
  </si>
  <si>
    <t>営業手当</t>
  </si>
  <si>
    <t>手当</t>
  </si>
  <si>
    <t>時間外手当</t>
  </si>
  <si>
    <t>休日労働手当</t>
  </si>
  <si>
    <t>深夜勤務手当</t>
  </si>
  <si>
    <t>通勤手当（課税)</t>
  </si>
  <si>
    <t>通勤手当（非課税)</t>
  </si>
  <si>
    <t>不就労控除</t>
  </si>
  <si>
    <t>課税合計</t>
  </si>
  <si>
    <t>非課税合計</t>
  </si>
  <si>
    <t>総支給合計</t>
  </si>
  <si>
    <t>健康保険</t>
  </si>
  <si>
    <t>介護保険</t>
  </si>
  <si>
    <t>厚生年金</t>
  </si>
  <si>
    <t>雇用保険</t>
  </si>
  <si>
    <t>社会保険合計</t>
  </si>
  <si>
    <t>課税対象額</t>
  </si>
  <si>
    <t>所得税</t>
  </si>
  <si>
    <t>住民税</t>
  </si>
  <si>
    <t>控除合計</t>
  </si>
  <si>
    <t>差引支給額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</si>
</sst>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24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0"/>
      <name val="Arial"/>
    </font>
    <font>
      <sz val="14"/>
      <color theme="1"/>
      <name val="MS PGothic"/>
      <family val="3"/>
      <charset val="128"/>
    </font>
    <font>
      <sz val="13"/>
      <color theme="1"/>
      <name val="MS PGothic"/>
      <family val="3"/>
      <charset val="128"/>
    </font>
    <font>
      <sz val="10"/>
      <color theme="1"/>
      <name val="Arial"/>
      <scheme val="minor"/>
    </font>
    <font>
      <sz val="10"/>
      <color theme="1"/>
      <name val="MS PGothic"/>
      <family val="3"/>
      <charset val="128"/>
    </font>
    <font>
      <sz val="6"/>
      <color theme="1"/>
      <name val="MS PGothic"/>
      <family val="3"/>
      <charset val="128"/>
    </font>
    <font>
      <sz val="9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2" fillId="2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right"/>
    </xf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right"/>
    </xf>
    <xf numFmtId="0" fontId="2" fillId="0" borderId="21" xfId="0" applyFont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 applyAlignment="1">
      <alignment horizontal="center"/>
    </xf>
    <xf numFmtId="38" fontId="7" fillId="0" borderId="24" xfId="0" applyNumberFormat="1" applyFont="1" applyBorder="1"/>
    <xf numFmtId="38" fontId="7" fillId="0" borderId="25" xfId="0" applyNumberFormat="1" applyFont="1" applyBorder="1"/>
    <xf numFmtId="0" fontId="2" fillId="0" borderId="17" xfId="0" applyFont="1" applyBorder="1" applyAlignment="1">
      <alignment horizontal="right"/>
    </xf>
    <xf numFmtId="38" fontId="7" fillId="0" borderId="18" xfId="0" applyNumberFormat="1" applyFont="1" applyBorder="1" applyAlignment="1">
      <alignment horizontal="center"/>
    </xf>
    <xf numFmtId="38" fontId="7" fillId="0" borderId="18" xfId="0" applyNumberFormat="1" applyFont="1" applyBorder="1"/>
    <xf numFmtId="38" fontId="7" fillId="0" borderId="19" xfId="0" applyNumberFormat="1" applyFont="1" applyBorder="1"/>
    <xf numFmtId="0" fontId="9" fillId="0" borderId="17" xfId="0" applyFont="1" applyBorder="1" applyAlignment="1">
      <alignment horizontal="center"/>
    </xf>
    <xf numFmtId="38" fontId="10" fillId="0" borderId="18" xfId="0" applyNumberFormat="1" applyFont="1" applyBorder="1" applyAlignment="1">
      <alignment horizontal="right"/>
    </xf>
    <xf numFmtId="0" fontId="2" fillId="0" borderId="26" xfId="0" applyFont="1" applyBorder="1" applyAlignment="1">
      <alignment horizontal="center"/>
    </xf>
    <xf numFmtId="38" fontId="7" fillId="0" borderId="27" xfId="0" applyNumberFormat="1" applyFont="1" applyBorder="1"/>
    <xf numFmtId="38" fontId="7" fillId="0" borderId="28" xfId="0" applyNumberFormat="1" applyFont="1" applyBorder="1"/>
    <xf numFmtId="0" fontId="2" fillId="2" borderId="29" xfId="0" applyFont="1" applyFill="1" applyBorder="1" applyAlignment="1">
      <alignment horizontal="center"/>
    </xf>
    <xf numFmtId="38" fontId="7" fillId="2" borderId="30" xfId="0" applyNumberFormat="1" applyFont="1" applyFill="1" applyBorder="1"/>
    <xf numFmtId="38" fontId="7" fillId="2" borderId="31" xfId="0" applyNumberFormat="1" applyFont="1" applyFill="1" applyBorder="1"/>
    <xf numFmtId="0" fontId="2" fillId="2" borderId="32" xfId="0" applyFont="1" applyFill="1" applyBorder="1" applyAlignment="1">
      <alignment horizontal="center"/>
    </xf>
    <xf numFmtId="38" fontId="7" fillId="2" borderId="33" xfId="0" applyNumberFormat="1" applyFont="1" applyFill="1" applyBorder="1"/>
    <xf numFmtId="38" fontId="7" fillId="2" borderId="34" xfId="0" applyNumberFormat="1" applyFont="1" applyFill="1" applyBorder="1"/>
    <xf numFmtId="0" fontId="2" fillId="2" borderId="35" xfId="0" applyFont="1" applyFill="1" applyBorder="1" applyAlignment="1">
      <alignment horizontal="center"/>
    </xf>
    <xf numFmtId="38" fontId="7" fillId="2" borderId="36" xfId="0" applyNumberFormat="1" applyFont="1" applyFill="1" applyBorder="1"/>
    <xf numFmtId="38" fontId="7" fillId="2" borderId="37" xfId="0" applyNumberFormat="1" applyFont="1" applyFill="1" applyBorder="1"/>
    <xf numFmtId="0" fontId="2" fillId="0" borderId="38" xfId="0" applyFont="1" applyBorder="1" applyAlignment="1">
      <alignment horizontal="center"/>
    </xf>
    <xf numFmtId="38" fontId="7" fillId="0" borderId="39" xfId="0" applyNumberFormat="1" applyFont="1" applyBorder="1"/>
    <xf numFmtId="38" fontId="7" fillId="0" borderId="40" xfId="0" applyNumberFormat="1" applyFont="1" applyBorder="1"/>
    <xf numFmtId="0" fontId="2" fillId="2" borderId="32" xfId="0" applyFont="1" applyFill="1" applyBorder="1"/>
    <xf numFmtId="0" fontId="2" fillId="0" borderId="41" xfId="0" applyFont="1" applyBorder="1" applyAlignment="1">
      <alignment horizontal="center"/>
    </xf>
    <xf numFmtId="38" fontId="7" fillId="0" borderId="42" xfId="0" applyNumberFormat="1" applyFont="1" applyBorder="1"/>
    <xf numFmtId="38" fontId="7" fillId="0" borderId="43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5"/>
  <sheetViews>
    <sheetView tabSelected="1" workbookViewId="0">
      <selection activeCell="J18" sqref="J18"/>
    </sheetView>
  </sheetViews>
  <sheetFormatPr defaultColWidth="12.5703125" defaultRowHeight="15.75" customHeight="1"/>
  <cols>
    <col min="1" max="1" width="11.7109375" customWidth="1"/>
    <col min="2" max="15" width="9.28515625" customWidth="1"/>
    <col min="16" max="16" width="11.42578125" customWidth="1"/>
    <col min="17" max="26" width="7.7109375" customWidth="1"/>
  </cols>
  <sheetData>
    <row r="1" spans="1:26" ht="43.5" customHeigh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1"/>
      <c r="C3" s="1"/>
      <c r="D3" s="1"/>
      <c r="E3" s="51" t="s">
        <v>1</v>
      </c>
      <c r="F3" s="52"/>
      <c r="G3" s="53"/>
      <c r="H3" s="54" t="s">
        <v>2</v>
      </c>
      <c r="I3" s="52"/>
      <c r="J3" s="53"/>
      <c r="K3" s="54" t="s">
        <v>3</v>
      </c>
      <c r="L3" s="53"/>
      <c r="M3" s="54" t="s">
        <v>4</v>
      </c>
      <c r="N3" s="52"/>
      <c r="O3" s="53"/>
      <c r="P3" s="2" t="s">
        <v>5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 thickBot="1">
      <c r="A4" s="1"/>
      <c r="B4" s="1"/>
      <c r="C4" s="1"/>
      <c r="D4" s="1"/>
      <c r="E4" s="3"/>
      <c r="F4" s="4"/>
      <c r="G4" s="5"/>
      <c r="H4" s="57"/>
      <c r="I4" s="58"/>
      <c r="J4" s="59"/>
      <c r="K4" s="55"/>
      <c r="L4" s="56"/>
      <c r="M4" s="60"/>
      <c r="N4" s="61"/>
      <c r="O4" s="62"/>
      <c r="P4" s="6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7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15</v>
      </c>
      <c r="K6" s="8" t="s">
        <v>16</v>
      </c>
      <c r="L6" s="8" t="s">
        <v>17</v>
      </c>
      <c r="M6" s="8" t="s">
        <v>18</v>
      </c>
      <c r="N6" s="8" t="s">
        <v>19</v>
      </c>
      <c r="O6" s="8" t="s">
        <v>20</v>
      </c>
      <c r="P6" s="9" t="s">
        <v>21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0" t="s">
        <v>22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3" t="s">
        <v>23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  <c r="O8" s="15"/>
      <c r="P8" s="16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3" t="s">
        <v>24</v>
      </c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3" t="s">
        <v>25</v>
      </c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3" t="s">
        <v>26</v>
      </c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6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7"/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21" t="s">
        <v>27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>
        <f t="shared" ref="P13:P40" si="0">SUM(B13:O13)</f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24" t="s">
        <v>28</v>
      </c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>
        <f t="shared" si="0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24" t="s">
        <v>29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>
        <f t="shared" si="0"/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24" t="s">
        <v>29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>
        <f t="shared" si="0"/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3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>
        <f t="shared" si="0"/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3" t="s">
        <v>30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>
        <f t="shared" si="0"/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3" t="s">
        <v>31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>
        <f t="shared" si="0"/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3" t="s">
        <v>32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>
        <f t="shared" si="0"/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28" t="s">
        <v>33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>
        <f t="shared" si="0"/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28" t="s">
        <v>34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6"/>
      <c r="O22" s="26"/>
      <c r="P22" s="27">
        <f t="shared" si="0"/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30" t="s">
        <v>35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2">
        <f t="shared" si="0"/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33" t="s">
        <v>36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>
        <f t="shared" ref="B24:O24" si="1">SUM(N13:N21)+N23</f>
        <v>0</v>
      </c>
      <c r="O24" s="34">
        <f t="shared" si="1"/>
        <v>0</v>
      </c>
      <c r="P24" s="35">
        <f t="shared" si="0"/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36" t="s">
        <v>37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>
        <f t="shared" ref="B25:O25" si="2">N22</f>
        <v>0</v>
      </c>
      <c r="O25" s="37">
        <f t="shared" si="2"/>
        <v>0</v>
      </c>
      <c r="P25" s="38">
        <f t="shared" si="0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39" t="s">
        <v>38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>
        <f t="shared" ref="B26:O26" si="3">N24+N25</f>
        <v>0</v>
      </c>
      <c r="O26" s="40">
        <f t="shared" si="3"/>
        <v>0</v>
      </c>
      <c r="P26" s="41">
        <f t="shared" si="0"/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42" t="s">
        <v>39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>
        <f t="shared" si="0"/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3" t="s">
        <v>40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7">
        <f t="shared" si="0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3" t="s">
        <v>41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7">
        <f t="shared" si="0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30" t="s">
        <v>42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2">
        <f t="shared" si="0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45" t="s">
        <v>43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>
        <f t="shared" ref="B31:O31" si="4">SUM(N27:N30)</f>
        <v>0</v>
      </c>
      <c r="O31" s="37">
        <f t="shared" si="4"/>
        <v>0</v>
      </c>
      <c r="P31" s="38">
        <f t="shared" si="0"/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39" t="s">
        <v>44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>
        <f t="shared" ref="B32:O32" si="5">N24-N31</f>
        <v>0</v>
      </c>
      <c r="O32" s="40">
        <f t="shared" si="5"/>
        <v>0</v>
      </c>
      <c r="P32" s="41">
        <f t="shared" si="0"/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46" t="s">
        <v>45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8">
        <f t="shared" si="0"/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3" t="s">
        <v>46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>
        <f t="shared" si="0"/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>
        <f t="shared" si="0"/>
        <v>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3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7">
        <f t="shared" si="0"/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3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7">
        <f t="shared" si="0"/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2">
        <f t="shared" si="0"/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36" t="s">
        <v>47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>
        <f t="shared" ref="B39:O39" si="6">SUM(N33:N38)</f>
        <v>0</v>
      </c>
      <c r="O39" s="37">
        <f t="shared" si="6"/>
        <v>0</v>
      </c>
      <c r="P39" s="38">
        <f t="shared" si="0"/>
        <v>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39" t="s">
        <v>48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>
        <f t="shared" ref="B40:O40" si="7">N26-N31-N39</f>
        <v>0</v>
      </c>
      <c r="O40" s="40">
        <f t="shared" si="7"/>
        <v>0</v>
      </c>
      <c r="P40" s="41">
        <f t="shared" si="0"/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8">
    <mergeCell ref="K4:L4"/>
    <mergeCell ref="H4:J4"/>
    <mergeCell ref="M4:O4"/>
    <mergeCell ref="A1:P1"/>
    <mergeCell ref="E3:G3"/>
    <mergeCell ref="H3:J3"/>
    <mergeCell ref="K3:L3"/>
    <mergeCell ref="M3:O3"/>
  </mergeCells>
  <phoneticPr fontId="11"/>
  <pageMargins left="0.53760521314146081" right="5.376052131414609E-2" top="0.20160195492804783" bottom="0.16128156394243826" header="0" footer="0"/>
  <pageSetup paperSize="9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Kenji Kaneshrio</cp:lastModifiedBy>
  <dcterms:modified xsi:type="dcterms:W3CDTF">2025-12-10T01:15:21Z</dcterms:modified>
</cp:coreProperties>
</file>